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hidePivotFieldList="1"/>
  <mc:AlternateContent xmlns:mc="http://schemas.openxmlformats.org/markup-compatibility/2006">
    <mc:Choice Requires="x15">
      <x15ac:absPath xmlns:x15ac="http://schemas.microsoft.com/office/spreadsheetml/2010/11/ac" url="C:\Users\pb38104\Documents\"/>
    </mc:Choice>
  </mc:AlternateContent>
  <xr:revisionPtr revIDLastSave="0" documentId="8_{57BCE4F8-D6FB-4D38-86DF-CFF11E36F235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Dépenses Pavillons" sheetId="1" r:id="rId1"/>
    <sheet name="Feuil2" sheetId="2" r:id="rId2"/>
    <sheet name="Feuil3" sheetId="3" r:id="rId3"/>
    <sheet name="Feuil4" sheetId="4" r:id="rId4"/>
    <sheet name="Feuil5" sheetId="5" r:id="rId5"/>
    <sheet name="Feuil6" sheetId="6" r:id="rId6"/>
    <sheet name="Feuil7" sheetId="7" r:id="rId7"/>
    <sheet name="Feuil8" sheetId="8" r:id="rId8"/>
    <sheet name="Feuil9" sheetId="9" r:id="rId9"/>
    <sheet name="Feuil10" sheetId="10" r:id="rId10"/>
    <sheet name="Feuil11" sheetId="11" r:id="rId11"/>
    <sheet name="Feuil12" sheetId="12" r:id="rId12"/>
    <sheet name="Feuil13" sheetId="13" r:id="rId13"/>
    <sheet name="Feuil14" sheetId="14" r:id="rId14"/>
    <sheet name="Feuil15" sheetId="15" r:id="rId15"/>
    <sheet name="Feuil16" sheetId="16" r:id="rId16"/>
  </sheets>
  <definedNames>
    <definedName name="Excel_BuiltIn__FilterDatabase">'Dépenses Pavillons'!$D$5:$D$37</definedName>
    <definedName name="Excel_BuiltIn_Print_Titles" localSheetId="0">'Dépenses Pavillons'!$5:$7</definedName>
    <definedName name="_xlnm.Print_Titles" localSheetId="0">'Dépenses Pavillons'!$5:$7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Z35" i="1" l="1"/>
  <c r="Z34" i="1"/>
  <c r="Z33" i="1"/>
  <c r="Z32" i="1"/>
  <c r="Z31" i="1"/>
  <c r="Z30" i="1"/>
  <c r="Z29" i="1"/>
  <c r="Z28" i="1"/>
  <c r="Z27" i="1"/>
  <c r="Z26" i="1"/>
  <c r="Z25" i="1"/>
  <c r="Z24" i="1"/>
  <c r="Z23" i="1"/>
  <c r="Z22" i="1"/>
  <c r="Z21" i="1"/>
  <c r="Z20" i="1"/>
  <c r="Z19" i="1"/>
  <c r="Z18" i="1"/>
  <c r="Z17" i="1"/>
  <c r="Z16" i="1"/>
  <c r="Z15" i="1"/>
  <c r="Z14" i="1"/>
  <c r="Z13" i="1"/>
  <c r="Z12" i="1"/>
  <c r="Z11" i="1"/>
  <c r="Z10" i="1"/>
  <c r="Y35" i="1"/>
  <c r="Y34" i="1"/>
  <c r="Y33" i="1"/>
  <c r="Y32" i="1"/>
  <c r="Y31" i="1"/>
  <c r="Y30" i="1"/>
  <c r="Y29" i="1"/>
  <c r="Y28" i="1"/>
  <c r="Y27" i="1"/>
  <c r="Y26" i="1"/>
  <c r="Y25" i="1"/>
  <c r="Y24" i="1"/>
  <c r="Y23" i="1"/>
  <c r="Y22" i="1"/>
  <c r="Y21" i="1"/>
  <c r="Y20" i="1"/>
  <c r="Y19" i="1"/>
  <c r="Y18" i="1"/>
  <c r="Y17" i="1"/>
  <c r="Y16" i="1"/>
  <c r="Y15" i="1"/>
  <c r="Y14" i="1"/>
  <c r="Y13" i="1"/>
  <c r="Y12" i="1"/>
  <c r="Y11" i="1"/>
  <c r="Y10" i="1"/>
  <c r="F10" i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F35" i="1" s="1"/>
  <c r="K36" i="1"/>
  <c r="L36" i="1"/>
  <c r="M36" i="1"/>
  <c r="P36" i="1"/>
  <c r="D36" i="1" l="1"/>
  <c r="F36" i="1" s="1"/>
  <c r="U36" i="1"/>
  <c r="S43" i="1" s="1"/>
  <c r="H36" i="1"/>
  <c r="F9" i="1"/>
  <c r="Y9" i="1"/>
  <c r="Z9" i="1" s="1"/>
  <c r="G36" i="1"/>
  <c r="I36" i="1"/>
  <c r="J36" i="1"/>
  <c r="R36" i="1"/>
  <c r="S41" i="1" s="1"/>
  <c r="T36" i="1"/>
  <c r="Q36" i="1"/>
  <c r="S40" i="1" s="1"/>
  <c r="N36" i="1"/>
  <c r="O36" i="1"/>
  <c r="S36" i="1"/>
  <c r="S42" i="1" s="1"/>
  <c r="V36" i="1"/>
  <c r="X36" i="1"/>
  <c r="W36" i="1"/>
  <c r="S44" i="1" l="1"/>
  <c r="S39" i="1"/>
  <c r="S38" i="1"/>
  <c r="Y36" i="1"/>
  <c r="Z36" i="1" l="1"/>
</calcChain>
</file>

<file path=xl/sharedStrings.xml><?xml version="1.0" encoding="utf-8"?>
<sst xmlns="http://schemas.openxmlformats.org/spreadsheetml/2006/main" count="67" uniqueCount="50">
  <si>
    <t>PAVILLON :</t>
  </si>
  <si>
    <t>Responsable Engagements :</t>
  </si>
  <si>
    <t xml:space="preserve">Etat transmis au secrétariat le : </t>
  </si>
  <si>
    <t>COMPTE</t>
  </si>
  <si>
    <t xml:space="preserve"> Mois de </t>
  </si>
  <si>
    <t>Ctre analyt.</t>
  </si>
  <si>
    <t>XXXXX</t>
  </si>
  <si>
    <t>Dates</t>
  </si>
  <si>
    <t>Factures</t>
  </si>
  <si>
    <t>N° p.</t>
  </si>
  <si>
    <t>Montant</t>
  </si>
  <si>
    <t>Avance Permanente</t>
  </si>
  <si>
    <t>Soldes Avance</t>
  </si>
  <si>
    <t>Alimentation pour l'animation</t>
  </si>
  <si>
    <t>Cantine</t>
  </si>
  <si>
    <t>Habillement des Enfants</t>
  </si>
  <si>
    <t>Produits Hygiène</t>
  </si>
  <si>
    <t>Fournitures et activités scolaires</t>
  </si>
  <si>
    <t>Coiffeur</t>
  </si>
  <si>
    <t>Transport des Enfants</t>
  </si>
  <si>
    <t>Argent de poche</t>
  </si>
  <si>
    <t>Animation à l'extérieur (Loisirs)</t>
  </si>
  <si>
    <t>Cadeaux Enfants</t>
  </si>
  <si>
    <t>Petit Materiel de cuisine (couverts, verres)</t>
  </si>
  <si>
    <t>Fournitures décoration pavillon</t>
  </si>
  <si>
    <t>Petit materiel pour l'animation</t>
  </si>
  <si>
    <t>Fournitures de bureaux</t>
  </si>
  <si>
    <t>Dépenses en attente de remboursement</t>
  </si>
  <si>
    <t>Timbres</t>
  </si>
  <si>
    <t>TOTAL</t>
  </si>
  <si>
    <t>Contrôles</t>
  </si>
  <si>
    <t>TOTAL Dépenses</t>
  </si>
  <si>
    <t>Direction</t>
  </si>
  <si>
    <t xml:space="preserve"> Comptabilité</t>
  </si>
  <si>
    <t>Date Validation</t>
  </si>
  <si>
    <t>Date Contrôle</t>
  </si>
  <si>
    <t>Visa Direction</t>
  </si>
  <si>
    <t>Date de mise en Paiement</t>
  </si>
  <si>
    <t>Visa Comptable</t>
  </si>
  <si>
    <t>Produits lessiviels</t>
  </si>
  <si>
    <t>Alimentation appartement</t>
  </si>
  <si>
    <t>ASANI</t>
  </si>
  <si>
    <t>SGRES</t>
  </si>
  <si>
    <t>TRANS</t>
  </si>
  <si>
    <t>ETABL</t>
  </si>
  <si>
    <t>SGHEB</t>
  </si>
  <si>
    <t>ADMIN</t>
  </si>
  <si>
    <t>SGENT</t>
  </si>
  <si>
    <t>ANALYTIQUE:</t>
  </si>
  <si>
    <t>POUR INSERER UNE LIGNE MERCI DE FAIRE CLIC DROIT "INSERER"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</si>
</sst>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&quot; F&quot;_-;\-* #,##0.00&quot; F&quot;_-;_-* \-??&quot; F&quot;_-;_-@_-"/>
    <numFmt numFmtId="165" formatCode="_-* #,##0.00\ [$€-1]_-;\-* #,##0.00\ [$€-1]_-;_-* \-??\ [$€-1]_-;_-@_-"/>
    <numFmt numFmtId="166" formatCode="[$-40C]mmm\-yy"/>
  </numFmts>
  <fonts count="11" x14ac:knownFonts="1">
    <font>
      <sz val="10"/>
      <name val="Arial"/>
    </font>
    <font>
      <sz val="9"/>
      <name val="Arial"/>
      <family val="2"/>
    </font>
    <font>
      <b/>
      <sz val="9"/>
      <name val="Arial"/>
      <family val="2"/>
    </font>
    <font>
      <b/>
      <i/>
      <sz val="10"/>
      <name val="Arial"/>
      <family val="2"/>
    </font>
    <font>
      <b/>
      <sz val="10"/>
      <name val="Arial"/>
      <family val="2"/>
    </font>
    <font>
      <b/>
      <u/>
      <sz val="9"/>
      <name val="Arial"/>
      <family val="2"/>
    </font>
    <font>
      <sz val="10"/>
      <name val="Arial"/>
      <family val="2"/>
    </font>
    <font>
      <sz val="7"/>
      <name val="Arial"/>
      <family val="2"/>
    </font>
    <font>
      <b/>
      <sz val="12"/>
      <color rgb="FFFF0000"/>
      <name val="Arial"/>
      <family val="2"/>
    </font>
    <font>
      <b/>
      <sz val="18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31"/>
      </patternFill>
    </fill>
  </fills>
  <borders count="17">
    <border>
      <left/>
      <right/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/>
      <bottom/>
      <diagonal/>
    </border>
    <border>
      <left style="medium">
        <color indexed="8"/>
      </left>
      <right style="medium">
        <color indexed="8"/>
      </right>
      <top/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8"/>
      </right>
      <top style="medium">
        <color indexed="8"/>
      </top>
      <bottom style="medium">
        <color indexed="8"/>
      </bottom>
      <diagonal/>
    </border>
  </borders>
  <cellStyleXfs count="2">
    <xf numFmtId="0" fontId="0" fillId="0" borderId="0"/>
    <xf numFmtId="164" fontId="6" fillId="0" borderId="0" applyFill="0" applyBorder="0" applyAlignment="0" applyProtection="0"/>
  </cellStyleXfs>
  <cellXfs count="85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165" fontId="1" fillId="0" borderId="0" xfId="1" applyNumberFormat="1" applyFont="1" applyFill="1" applyBorder="1" applyAlignment="1" applyProtection="1">
      <alignment horizontal="center"/>
    </xf>
    <xf numFmtId="165" fontId="0" fillId="0" borderId="0" xfId="0" applyNumberFormat="1" applyAlignment="1">
      <alignment horizontal="center"/>
    </xf>
    <xf numFmtId="165" fontId="1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3" fillId="0" borderId="0" xfId="1" applyNumberFormat="1" applyFont="1" applyFill="1" applyBorder="1" applyAlignment="1" applyProtection="1">
      <alignment horizontal="center"/>
    </xf>
    <xf numFmtId="0" fontId="3" fillId="0" borderId="0" xfId="0" applyFont="1" applyAlignment="1">
      <alignment horizontal="center"/>
    </xf>
    <xf numFmtId="14" fontId="1" fillId="0" borderId="0" xfId="1" applyNumberFormat="1" applyFont="1" applyFill="1" applyBorder="1" applyAlignment="1" applyProtection="1">
      <alignment horizontal="center"/>
    </xf>
    <xf numFmtId="166" fontId="1" fillId="0" borderId="0" xfId="1" applyNumberFormat="1" applyFont="1" applyFill="1" applyBorder="1" applyAlignment="1" applyProtection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165" fontId="1" fillId="0" borderId="1" xfId="1" applyNumberFormat="1" applyFont="1" applyFill="1" applyBorder="1" applyAlignment="1" applyProtection="1">
      <alignment horizontal="center"/>
    </xf>
    <xf numFmtId="14" fontId="1" fillId="2" borderId="3" xfId="0" applyNumberFormat="1" applyFont="1" applyFill="1" applyBorder="1" applyAlignment="1">
      <alignment horizontal="left"/>
    </xf>
    <xf numFmtId="0" fontId="1" fillId="2" borderId="3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center"/>
    </xf>
    <xf numFmtId="165" fontId="1" fillId="2" borderId="3" xfId="1" applyNumberFormat="1" applyFont="1" applyFill="1" applyBorder="1" applyAlignment="1" applyProtection="1">
      <alignment horizontal="right"/>
    </xf>
    <xf numFmtId="165" fontId="4" fillId="0" borderId="3" xfId="1" applyNumberFormat="1" applyFont="1" applyFill="1" applyBorder="1" applyAlignment="1" applyProtection="1">
      <alignment horizontal="right"/>
    </xf>
    <xf numFmtId="165" fontId="0" fillId="0" borderId="3" xfId="1" applyNumberFormat="1" applyFont="1" applyFill="1" applyBorder="1" applyAlignment="1" applyProtection="1">
      <alignment horizontal="right"/>
    </xf>
    <xf numFmtId="165" fontId="1" fillId="2" borderId="4" xfId="1" applyNumberFormat="1" applyFont="1" applyFill="1" applyBorder="1" applyAlignment="1" applyProtection="1">
      <alignment horizontal="right"/>
    </xf>
    <xf numFmtId="165" fontId="1" fillId="2" borderId="5" xfId="1" applyNumberFormat="1" applyFont="1" applyFill="1" applyBorder="1" applyAlignment="1" applyProtection="1">
      <alignment horizontal="center"/>
    </xf>
    <xf numFmtId="164" fontId="1" fillId="2" borderId="5" xfId="1" applyFont="1" applyFill="1" applyBorder="1" applyAlignment="1" applyProtection="1">
      <alignment horizontal="center"/>
    </xf>
    <xf numFmtId="14" fontId="1" fillId="0" borderId="6" xfId="0" applyNumberFormat="1" applyFont="1" applyBorder="1" applyAlignment="1" applyProtection="1">
      <alignment horizontal="left"/>
      <protection locked="0"/>
    </xf>
    <xf numFmtId="0" fontId="1" fillId="0" borderId="6" xfId="0" applyFont="1" applyBorder="1" applyAlignment="1" applyProtection="1">
      <alignment horizontal="left" vertical="center" wrapText="1"/>
      <protection locked="0"/>
    </xf>
    <xf numFmtId="0" fontId="1" fillId="0" borderId="6" xfId="0" applyFont="1" applyBorder="1" applyAlignment="1">
      <alignment horizontal="center"/>
    </xf>
    <xf numFmtId="165" fontId="1" fillId="0" borderId="6" xfId="1" applyNumberFormat="1" applyFont="1" applyFill="1" applyBorder="1" applyAlignment="1" applyProtection="1">
      <alignment horizontal="right"/>
      <protection locked="0"/>
    </xf>
    <xf numFmtId="164" fontId="1" fillId="2" borderId="6" xfId="1" applyFont="1" applyFill="1" applyBorder="1" applyAlignment="1" applyProtection="1">
      <alignment horizontal="right"/>
    </xf>
    <xf numFmtId="165" fontId="0" fillId="0" borderId="6" xfId="1" applyNumberFormat="1" applyFont="1" applyFill="1" applyBorder="1" applyAlignment="1" applyProtection="1">
      <alignment horizontal="right"/>
    </xf>
    <xf numFmtId="165" fontId="1" fillId="0" borderId="6" xfId="1" applyNumberFormat="1" applyFont="1" applyFill="1" applyBorder="1" applyAlignment="1" applyProtection="1">
      <alignment horizontal="center"/>
    </xf>
    <xf numFmtId="164" fontId="1" fillId="0" borderId="6" xfId="1" applyFont="1" applyFill="1" applyBorder="1" applyAlignment="1" applyProtection="1">
      <alignment horizontal="center"/>
    </xf>
    <xf numFmtId="0" fontId="1" fillId="0" borderId="6" xfId="0" applyFont="1" applyBorder="1" applyAlignment="1" applyProtection="1">
      <alignment horizontal="left" vertical="center"/>
      <protection locked="0"/>
    </xf>
    <xf numFmtId="14" fontId="1" fillId="0" borderId="7" xfId="0" applyNumberFormat="1" applyFont="1" applyBorder="1" applyAlignment="1" applyProtection="1">
      <alignment horizontal="left"/>
      <protection locked="0"/>
    </xf>
    <xf numFmtId="0" fontId="1" fillId="0" borderId="7" xfId="0" applyFont="1" applyBorder="1" applyAlignment="1" applyProtection="1">
      <alignment horizontal="left" vertical="center"/>
      <protection locked="0"/>
    </xf>
    <xf numFmtId="164" fontId="1" fillId="2" borderId="7" xfId="1" applyFont="1" applyFill="1" applyBorder="1" applyAlignment="1" applyProtection="1">
      <alignment horizontal="right"/>
    </xf>
    <xf numFmtId="165" fontId="1" fillId="0" borderId="7" xfId="1" applyNumberFormat="1" applyFont="1" applyFill="1" applyBorder="1" applyAlignment="1" applyProtection="1">
      <alignment horizontal="right"/>
      <protection locked="0"/>
    </xf>
    <xf numFmtId="0" fontId="1" fillId="2" borderId="1" xfId="0" applyFont="1" applyFill="1" applyBorder="1" applyAlignment="1">
      <alignment horizontal="center"/>
    </xf>
    <xf numFmtId="165" fontId="1" fillId="0" borderId="1" xfId="1" applyNumberFormat="1" applyFont="1" applyFill="1" applyBorder="1" applyAlignment="1" applyProtection="1">
      <alignment horizontal="right"/>
    </xf>
    <xf numFmtId="164" fontId="1" fillId="2" borderId="1" xfId="1" applyFont="1" applyFill="1" applyBorder="1" applyAlignment="1" applyProtection="1">
      <alignment horizontal="right"/>
    </xf>
    <xf numFmtId="165" fontId="0" fillId="0" borderId="1" xfId="1" applyNumberFormat="1" applyFont="1" applyFill="1" applyBorder="1" applyAlignment="1" applyProtection="1">
      <alignment horizontal="right"/>
    </xf>
    <xf numFmtId="164" fontId="1" fillId="0" borderId="1" xfId="1" applyFont="1" applyFill="1" applyBorder="1" applyAlignment="1" applyProtection="1">
      <alignment horizontal="center"/>
    </xf>
    <xf numFmtId="0" fontId="7" fillId="0" borderId="0" xfId="0" applyFont="1" applyAlignment="1">
      <alignment horizontal="center" wrapText="1"/>
    </xf>
    <xf numFmtId="165" fontId="1" fillId="0" borderId="1" xfId="1" applyNumberFormat="1" applyFont="1" applyFill="1" applyBorder="1" applyAlignment="1" applyProtection="1">
      <alignment horizontal="center" vertical="center"/>
    </xf>
    <xf numFmtId="164" fontId="2" fillId="0" borderId="1" xfId="1" applyFont="1" applyFill="1" applyBorder="1" applyAlignment="1" applyProtection="1">
      <alignment horizontal="center" vertical="center" wrapText="1"/>
    </xf>
    <xf numFmtId="165" fontId="0" fillId="0" borderId="1" xfId="1" applyNumberFormat="1" applyFont="1" applyFill="1" applyBorder="1" applyAlignment="1" applyProtection="1">
      <alignment horizontal="center" vertical="center" wrapText="1"/>
    </xf>
    <xf numFmtId="165" fontId="1" fillId="0" borderId="1" xfId="1" applyNumberFormat="1" applyFont="1" applyFill="1" applyBorder="1" applyAlignment="1" applyProtection="1">
      <alignment horizontal="center" vertical="center" wrapText="1"/>
    </xf>
    <xf numFmtId="165" fontId="1" fillId="0" borderId="2" xfId="1" applyNumberFormat="1" applyFont="1" applyFill="1" applyBorder="1" applyAlignment="1" applyProtection="1">
      <alignment horizontal="center" vertical="center" wrapText="1"/>
    </xf>
    <xf numFmtId="164" fontId="1" fillId="2" borderId="1" xfId="1" applyFont="1" applyFill="1" applyBorder="1" applyAlignment="1" applyProtection="1">
      <alignment horizontal="center" vertical="center"/>
    </xf>
    <xf numFmtId="165" fontId="1" fillId="0" borderId="0" xfId="0" applyNumberFormat="1" applyFont="1" applyBorder="1" applyAlignment="1">
      <alignment horizontal="center"/>
    </xf>
    <xf numFmtId="0" fontId="5" fillId="0" borderId="8" xfId="0" applyFont="1" applyBorder="1" applyAlignment="1">
      <alignment horizontal="left"/>
    </xf>
    <xf numFmtId="165" fontId="1" fillId="0" borderId="9" xfId="0" applyNumberFormat="1" applyFont="1" applyBorder="1" applyAlignment="1">
      <alignment horizontal="center"/>
    </xf>
    <xf numFmtId="165" fontId="1" fillId="0" borderId="10" xfId="0" applyNumberFormat="1" applyFont="1" applyBorder="1" applyAlignment="1">
      <alignment horizontal="center"/>
    </xf>
    <xf numFmtId="0" fontId="1" fillId="0" borderId="11" xfId="0" applyFont="1" applyBorder="1" applyAlignment="1">
      <alignment horizontal="left"/>
    </xf>
    <xf numFmtId="165" fontId="1" fillId="0" borderId="12" xfId="0" applyNumberFormat="1" applyFont="1" applyBorder="1" applyAlignment="1">
      <alignment horizontal="center"/>
    </xf>
    <xf numFmtId="165" fontId="1" fillId="0" borderId="11" xfId="0" applyNumberFormat="1" applyFont="1" applyBorder="1" applyAlignment="1">
      <alignment horizontal="center"/>
    </xf>
    <xf numFmtId="165" fontId="1" fillId="0" borderId="13" xfId="0" applyNumberFormat="1" applyFont="1" applyBorder="1" applyAlignment="1">
      <alignment horizontal="center"/>
    </xf>
    <xf numFmtId="165" fontId="1" fillId="0" borderId="14" xfId="0" applyNumberFormat="1" applyFont="1" applyBorder="1" applyAlignment="1">
      <alignment horizontal="center"/>
    </xf>
    <xf numFmtId="165" fontId="1" fillId="0" borderId="15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0" fontId="1" fillId="0" borderId="9" xfId="0" applyFont="1" applyBorder="1" applyAlignment="1">
      <alignment horizontal="center" vertical="center"/>
    </xf>
    <xf numFmtId="0" fontId="1" fillId="0" borderId="9" xfId="0" applyFont="1" applyBorder="1" applyAlignment="1">
      <alignment horizontal="center"/>
    </xf>
    <xf numFmtId="165" fontId="1" fillId="0" borderId="9" xfId="1" applyNumberFormat="1" applyFont="1" applyFill="1" applyBorder="1" applyAlignment="1" applyProtection="1">
      <alignment horizontal="center"/>
    </xf>
    <xf numFmtId="165" fontId="0" fillId="0" borderId="9" xfId="0" applyNumberForma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/>
    </xf>
    <xf numFmtId="165" fontId="1" fillId="0" borderId="14" xfId="1" applyNumberFormat="1" applyFont="1" applyFill="1" applyBorder="1" applyAlignment="1" applyProtection="1">
      <alignment horizontal="center"/>
    </xf>
    <xf numFmtId="165" fontId="0" fillId="0" borderId="14" xfId="0" applyNumberFormat="1" applyBorder="1" applyAlignment="1">
      <alignment horizontal="center"/>
    </xf>
    <xf numFmtId="165" fontId="1" fillId="0" borderId="16" xfId="1" applyNumberFormat="1" applyFont="1" applyFill="1" applyBorder="1" applyAlignment="1" applyProtection="1">
      <alignment horizontal="center" vertical="center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center"/>
    </xf>
    <xf numFmtId="165" fontId="8" fillId="0" borderId="0" xfId="1" applyNumberFormat="1" applyFont="1" applyFill="1" applyBorder="1" applyAlignment="1" applyProtection="1">
      <alignment horizontal="center"/>
    </xf>
    <xf numFmtId="165" fontId="8" fillId="0" borderId="0" xfId="0" applyNumberFormat="1" applyFont="1" applyAlignment="1">
      <alignment horizontal="center"/>
    </xf>
    <xf numFmtId="165" fontId="9" fillId="0" borderId="0" xfId="0" applyNumberFormat="1" applyFont="1" applyAlignment="1">
      <alignment horizontal="center"/>
    </xf>
    <xf numFmtId="165" fontId="10" fillId="0" borderId="2" xfId="1" applyNumberFormat="1" applyFont="1" applyFill="1" applyBorder="1" applyAlignment="1" applyProtection="1">
      <alignment horizontal="center" vertical="center" wrapText="1"/>
    </xf>
    <xf numFmtId="165" fontId="1" fillId="0" borderId="10" xfId="0" applyNumberFormat="1" applyFont="1" applyBorder="1" applyAlignment="1">
      <alignment horizontal="right"/>
    </xf>
    <xf numFmtId="165" fontId="1" fillId="0" borderId="12" xfId="0" applyNumberFormat="1" applyFont="1" applyBorder="1" applyAlignment="1">
      <alignment horizontal="right"/>
    </xf>
    <xf numFmtId="165" fontId="1" fillId="0" borderId="15" xfId="0" applyNumberFormat="1" applyFont="1" applyBorder="1" applyAlignment="1">
      <alignment horizontal="right"/>
    </xf>
    <xf numFmtId="165" fontId="4" fillId="0" borderId="8" xfId="0" applyNumberFormat="1" applyFont="1" applyBorder="1" applyAlignment="1">
      <alignment horizontal="left"/>
    </xf>
    <xf numFmtId="165" fontId="1" fillId="0" borderId="9" xfId="0" applyNumberFormat="1" applyFont="1" applyBorder="1" applyAlignment="1">
      <alignment horizontal="left"/>
    </xf>
    <xf numFmtId="165" fontId="1" fillId="0" borderId="0" xfId="0" applyNumberFormat="1" applyFont="1" applyBorder="1" applyAlignment="1">
      <alignment horizontal="left"/>
    </xf>
    <xf numFmtId="165" fontId="1" fillId="0" borderId="14" xfId="0" applyNumberFormat="1" applyFont="1" applyBorder="1" applyAlignment="1">
      <alignment horizontal="left"/>
    </xf>
  </cellXfs>
  <cellStyles count="2">
    <cellStyle name="Monétaire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44"/>
  <sheetViews>
    <sheetView showGridLines="0" tabSelected="1" workbookViewId="0">
      <selection activeCell="Z17" sqref="Z17"/>
    </sheetView>
  </sheetViews>
  <sheetFormatPr baseColWidth="10" defaultColWidth="10.85546875" defaultRowHeight="18" customHeight="1" x14ac:dyDescent="0.2"/>
  <cols>
    <col min="1" max="1" width="9.85546875" style="1" customWidth="1"/>
    <col min="2" max="2" width="17" style="2" customWidth="1"/>
    <col min="3" max="3" width="4.85546875" style="1" customWidth="1"/>
    <col min="4" max="4" width="8.28515625" style="3" bestFit="1" customWidth="1"/>
    <col min="5" max="5" width="11" style="1" bestFit="1" customWidth="1"/>
    <col min="6" max="6" width="11.7109375" style="4" customWidth="1"/>
    <col min="7" max="8" width="10.7109375" style="5" customWidth="1"/>
    <col min="9" max="9" width="7.5703125" style="5" bestFit="1" customWidth="1"/>
    <col min="10" max="10" width="10.42578125" style="5" customWidth="1"/>
    <col min="11" max="11" width="7.7109375" style="5" customWidth="1"/>
    <col min="12" max="12" width="7" style="5" customWidth="1"/>
    <col min="13" max="13" width="8.85546875" style="5" customWidth="1"/>
    <col min="14" max="14" width="9.5703125" style="5" bestFit="1" customWidth="1"/>
    <col min="15" max="15" width="10.42578125" style="5" bestFit="1" customWidth="1"/>
    <col min="16" max="16" width="9.85546875" style="5" customWidth="1"/>
    <col min="17" max="17" width="8.42578125" style="5" bestFit="1" customWidth="1"/>
    <col min="18" max="18" width="10.42578125" style="5" bestFit="1" customWidth="1"/>
    <col min="19" max="19" width="9.5703125" style="5" bestFit="1" customWidth="1"/>
    <col min="20" max="20" width="9.85546875" style="5" customWidth="1"/>
    <col min="21" max="21" width="8.42578125" style="5" bestFit="1" customWidth="1"/>
    <col min="22" max="22" width="9.7109375" style="5" customWidth="1"/>
    <col min="23" max="23" width="7.85546875" style="5" customWidth="1"/>
    <col min="24" max="24" width="9.140625" style="5" customWidth="1"/>
    <col min="25" max="25" width="7.42578125" style="5" bestFit="1" customWidth="1"/>
    <col min="26" max="26" width="9.85546875" style="1" bestFit="1" customWidth="1"/>
    <col min="27" max="16384" width="10.85546875" style="1"/>
  </cols>
  <sheetData>
    <row r="1" spans="1:27" ht="23.25" x14ac:dyDescent="0.35">
      <c r="A1" s="72" t="s">
        <v>49</v>
      </c>
      <c r="B1" s="1"/>
      <c r="C1" s="73"/>
      <c r="D1" s="74"/>
      <c r="E1" s="73"/>
      <c r="F1" s="75"/>
      <c r="G1" s="1"/>
      <c r="H1" s="1"/>
      <c r="I1" s="1"/>
      <c r="K1" s="76"/>
      <c r="L1" s="76"/>
      <c r="M1" s="76"/>
    </row>
    <row r="2" spans="1:27" ht="12.75" x14ac:dyDescent="0.2"/>
    <row r="3" spans="1:27" ht="18" customHeight="1" x14ac:dyDescent="0.2">
      <c r="A3" s="6" t="s">
        <v>0</v>
      </c>
      <c r="D3" s="7"/>
      <c r="E3" s="8"/>
      <c r="F3" s="8"/>
    </row>
    <row r="4" spans="1:27" ht="18" customHeight="1" x14ac:dyDescent="0.2">
      <c r="A4" s="6" t="s">
        <v>1</v>
      </c>
    </row>
    <row r="5" spans="1:27" ht="18" customHeight="1" x14ac:dyDescent="0.2">
      <c r="A5" s="6" t="s">
        <v>2</v>
      </c>
      <c r="D5" s="9"/>
      <c r="F5" s="4" t="s">
        <v>3</v>
      </c>
      <c r="G5" s="1">
        <v>60632</v>
      </c>
      <c r="H5" s="1">
        <v>60633</v>
      </c>
      <c r="I5" s="1">
        <v>628220</v>
      </c>
      <c r="J5" s="1">
        <v>60682</v>
      </c>
      <c r="K5" s="1">
        <v>60681</v>
      </c>
      <c r="L5" s="1">
        <v>62851</v>
      </c>
      <c r="M5" s="1">
        <v>658200</v>
      </c>
      <c r="N5" s="1">
        <v>606262</v>
      </c>
      <c r="O5" s="1">
        <v>6062602</v>
      </c>
      <c r="P5" s="1">
        <v>60625</v>
      </c>
      <c r="Q5" s="1">
        <v>60681</v>
      </c>
      <c r="R5" s="1">
        <v>6248</v>
      </c>
      <c r="S5" s="1">
        <v>6062802</v>
      </c>
      <c r="T5" s="1">
        <v>61122</v>
      </c>
      <c r="U5" s="1">
        <v>6062201</v>
      </c>
      <c r="V5" s="1">
        <v>6062402</v>
      </c>
      <c r="W5" s="1">
        <v>62610</v>
      </c>
      <c r="X5" s="1">
        <v>471000</v>
      </c>
    </row>
    <row r="6" spans="1:27" ht="18" customHeight="1" thickBot="1" x14ac:dyDescent="0.25">
      <c r="A6" s="6" t="s">
        <v>4</v>
      </c>
      <c r="D6" s="10"/>
      <c r="F6" s="4" t="s">
        <v>5</v>
      </c>
      <c r="G6" s="1" t="s">
        <v>42</v>
      </c>
      <c r="H6" s="1" t="s">
        <v>42</v>
      </c>
      <c r="I6" s="1" t="s">
        <v>42</v>
      </c>
      <c r="J6" s="1" t="s">
        <v>45</v>
      </c>
      <c r="K6" s="1" t="s">
        <v>45</v>
      </c>
      <c r="L6" s="1" t="s">
        <v>45</v>
      </c>
      <c r="M6" s="1" t="s">
        <v>45</v>
      </c>
      <c r="N6" s="1" t="s">
        <v>45</v>
      </c>
      <c r="O6" s="1" t="s">
        <v>45</v>
      </c>
      <c r="P6" s="1" t="s">
        <v>44</v>
      </c>
      <c r="Q6" s="1" t="s">
        <v>44</v>
      </c>
      <c r="R6" s="1" t="s">
        <v>43</v>
      </c>
      <c r="S6" s="1" t="s">
        <v>41</v>
      </c>
      <c r="T6" s="1" t="s">
        <v>41</v>
      </c>
      <c r="U6" s="1" t="s">
        <v>47</v>
      </c>
      <c r="V6" s="1" t="s">
        <v>46</v>
      </c>
      <c r="W6" s="1" t="s">
        <v>46</v>
      </c>
      <c r="X6" s="1" t="s">
        <v>6</v>
      </c>
    </row>
    <row r="7" spans="1:27" s="2" customFormat="1" ht="60" customHeight="1" thickBot="1" x14ac:dyDescent="0.25">
      <c r="A7" s="12" t="s">
        <v>7</v>
      </c>
      <c r="B7" s="12" t="s">
        <v>8</v>
      </c>
      <c r="C7" s="12" t="s">
        <v>9</v>
      </c>
      <c r="D7" s="42" t="s">
        <v>10</v>
      </c>
      <c r="E7" s="43" t="s">
        <v>11</v>
      </c>
      <c r="F7" s="44" t="s">
        <v>12</v>
      </c>
      <c r="G7" s="45" t="s">
        <v>13</v>
      </c>
      <c r="H7" s="45" t="s">
        <v>40</v>
      </c>
      <c r="I7" s="45" t="s">
        <v>14</v>
      </c>
      <c r="J7" s="45" t="s">
        <v>15</v>
      </c>
      <c r="K7" s="45" t="s">
        <v>16</v>
      </c>
      <c r="L7" s="42" t="s">
        <v>18</v>
      </c>
      <c r="M7" s="45" t="s">
        <v>20</v>
      </c>
      <c r="N7" s="45" t="s">
        <v>23</v>
      </c>
      <c r="O7" s="45" t="s">
        <v>24</v>
      </c>
      <c r="P7" s="45" t="s">
        <v>17</v>
      </c>
      <c r="Q7" s="45" t="s">
        <v>22</v>
      </c>
      <c r="R7" s="45" t="s">
        <v>19</v>
      </c>
      <c r="S7" s="46" t="s">
        <v>25</v>
      </c>
      <c r="T7" s="45" t="s">
        <v>21</v>
      </c>
      <c r="U7" s="45" t="s">
        <v>39</v>
      </c>
      <c r="V7" s="46" t="s">
        <v>26</v>
      </c>
      <c r="W7" s="71" t="s">
        <v>28</v>
      </c>
      <c r="X7" s="77" t="s">
        <v>27</v>
      </c>
      <c r="Y7" s="42" t="s">
        <v>29</v>
      </c>
      <c r="Z7" s="47" t="s">
        <v>30</v>
      </c>
    </row>
    <row r="8" spans="1:27" ht="18" customHeight="1" x14ac:dyDescent="0.2">
      <c r="A8" s="14"/>
      <c r="B8" s="15"/>
      <c r="C8" s="16"/>
      <c r="D8" s="17"/>
      <c r="E8" s="18">
        <v>2000</v>
      </c>
      <c r="F8" s="19">
        <v>2000</v>
      </c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20"/>
      <c r="W8" s="17"/>
      <c r="X8" s="20"/>
      <c r="Y8" s="21"/>
      <c r="Z8" s="22"/>
    </row>
    <row r="9" spans="1:27" ht="18" customHeight="1" x14ac:dyDescent="0.2">
      <c r="A9" s="23"/>
      <c r="B9" s="24"/>
      <c r="C9" s="25"/>
      <c r="D9" s="26"/>
      <c r="E9" s="27"/>
      <c r="F9" s="28">
        <f t="shared" ref="F9:F35" si="0">F8-D9</f>
        <v>2000</v>
      </c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9">
        <f t="shared" ref="Y9:Y35" si="1">SUM(G9:X9)</f>
        <v>0</v>
      </c>
      <c r="Z9" s="30" t="str">
        <f t="shared" ref="Z9:Z35" si="2">IF(Y9=D9,"ok","erreur")</f>
        <v>ok</v>
      </c>
      <c r="AA9" s="41"/>
    </row>
    <row r="10" spans="1:27" ht="18" customHeight="1" x14ac:dyDescent="0.2">
      <c r="A10" s="23"/>
      <c r="B10" s="31"/>
      <c r="C10" s="25"/>
      <c r="D10" s="26"/>
      <c r="E10" s="27"/>
      <c r="F10" s="28">
        <f t="shared" si="0"/>
        <v>2000</v>
      </c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9">
        <f t="shared" si="1"/>
        <v>0</v>
      </c>
      <c r="Z10" s="30" t="str">
        <f t="shared" si="2"/>
        <v>ok</v>
      </c>
    </row>
    <row r="11" spans="1:27" ht="18" customHeight="1" x14ac:dyDescent="0.2">
      <c r="A11" s="23"/>
      <c r="B11" s="31"/>
      <c r="C11" s="25"/>
      <c r="D11" s="26"/>
      <c r="E11" s="27"/>
      <c r="F11" s="28">
        <f t="shared" si="0"/>
        <v>2000</v>
      </c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9">
        <f t="shared" si="1"/>
        <v>0</v>
      </c>
      <c r="Z11" s="30" t="str">
        <f t="shared" si="2"/>
        <v>ok</v>
      </c>
    </row>
    <row r="12" spans="1:27" ht="18" customHeight="1" x14ac:dyDescent="0.2">
      <c r="A12" s="23"/>
      <c r="B12" s="31"/>
      <c r="C12" s="25"/>
      <c r="D12" s="26"/>
      <c r="E12" s="27"/>
      <c r="F12" s="28">
        <f t="shared" si="0"/>
        <v>2000</v>
      </c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9">
        <f t="shared" si="1"/>
        <v>0</v>
      </c>
      <c r="Z12" s="30" t="str">
        <f t="shared" si="2"/>
        <v>ok</v>
      </c>
    </row>
    <row r="13" spans="1:27" ht="18" customHeight="1" x14ac:dyDescent="0.2">
      <c r="A13" s="23"/>
      <c r="B13" s="31"/>
      <c r="C13" s="25"/>
      <c r="D13" s="26"/>
      <c r="E13" s="27"/>
      <c r="F13" s="28">
        <f t="shared" si="0"/>
        <v>2000</v>
      </c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9">
        <f t="shared" si="1"/>
        <v>0</v>
      </c>
      <c r="Z13" s="30" t="str">
        <f t="shared" si="2"/>
        <v>ok</v>
      </c>
    </row>
    <row r="14" spans="1:27" ht="18" customHeight="1" x14ac:dyDescent="0.2">
      <c r="A14" s="23"/>
      <c r="B14" s="31"/>
      <c r="C14" s="25"/>
      <c r="D14" s="26"/>
      <c r="E14" s="27"/>
      <c r="F14" s="28">
        <f t="shared" si="0"/>
        <v>2000</v>
      </c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9">
        <f t="shared" si="1"/>
        <v>0</v>
      </c>
      <c r="Z14" s="30" t="str">
        <f t="shared" si="2"/>
        <v>ok</v>
      </c>
    </row>
    <row r="15" spans="1:27" ht="18" customHeight="1" x14ac:dyDescent="0.2">
      <c r="A15" s="23"/>
      <c r="B15" s="31"/>
      <c r="C15" s="25"/>
      <c r="D15" s="26"/>
      <c r="E15" s="27"/>
      <c r="F15" s="28">
        <f t="shared" si="0"/>
        <v>2000</v>
      </c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9">
        <f t="shared" si="1"/>
        <v>0</v>
      </c>
      <c r="Z15" s="30" t="str">
        <f t="shared" si="2"/>
        <v>ok</v>
      </c>
    </row>
    <row r="16" spans="1:27" ht="18" customHeight="1" x14ac:dyDescent="0.2">
      <c r="A16" s="23"/>
      <c r="B16" s="31"/>
      <c r="C16" s="25"/>
      <c r="D16" s="26"/>
      <c r="E16" s="27"/>
      <c r="F16" s="28">
        <f t="shared" si="0"/>
        <v>2000</v>
      </c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9">
        <f t="shared" si="1"/>
        <v>0</v>
      </c>
      <c r="Z16" s="30" t="str">
        <f t="shared" si="2"/>
        <v>ok</v>
      </c>
    </row>
    <row r="17" spans="1:26" ht="18" customHeight="1" x14ac:dyDescent="0.2">
      <c r="A17" s="23"/>
      <c r="B17" s="31"/>
      <c r="C17" s="25"/>
      <c r="D17" s="26"/>
      <c r="E17" s="27"/>
      <c r="F17" s="28">
        <f t="shared" si="0"/>
        <v>2000</v>
      </c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9">
        <f t="shared" si="1"/>
        <v>0</v>
      </c>
      <c r="Z17" s="30" t="str">
        <f t="shared" si="2"/>
        <v>ok</v>
      </c>
    </row>
    <row r="18" spans="1:26" ht="18" customHeight="1" x14ac:dyDescent="0.2">
      <c r="A18" s="23"/>
      <c r="B18" s="31"/>
      <c r="C18" s="25"/>
      <c r="D18" s="26"/>
      <c r="E18" s="27"/>
      <c r="F18" s="28">
        <f t="shared" si="0"/>
        <v>2000</v>
      </c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9">
        <f t="shared" si="1"/>
        <v>0</v>
      </c>
      <c r="Z18" s="30" t="str">
        <f t="shared" si="2"/>
        <v>ok</v>
      </c>
    </row>
    <row r="19" spans="1:26" ht="18" customHeight="1" x14ac:dyDescent="0.2">
      <c r="A19" s="23"/>
      <c r="B19" s="31"/>
      <c r="C19" s="25"/>
      <c r="D19" s="26"/>
      <c r="E19" s="27"/>
      <c r="F19" s="28">
        <f t="shared" si="0"/>
        <v>2000</v>
      </c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9">
        <f t="shared" si="1"/>
        <v>0</v>
      </c>
      <c r="Z19" s="30" t="str">
        <f t="shared" si="2"/>
        <v>ok</v>
      </c>
    </row>
    <row r="20" spans="1:26" ht="18" customHeight="1" x14ac:dyDescent="0.2">
      <c r="A20" s="23"/>
      <c r="B20" s="31"/>
      <c r="C20" s="25"/>
      <c r="D20" s="26"/>
      <c r="E20" s="27"/>
      <c r="F20" s="28">
        <f t="shared" si="0"/>
        <v>2000</v>
      </c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9">
        <f t="shared" si="1"/>
        <v>0</v>
      </c>
      <c r="Z20" s="30" t="str">
        <f t="shared" si="2"/>
        <v>ok</v>
      </c>
    </row>
    <row r="21" spans="1:26" ht="18" customHeight="1" x14ac:dyDescent="0.2">
      <c r="A21" s="23"/>
      <c r="B21" s="31"/>
      <c r="C21" s="25"/>
      <c r="D21" s="26"/>
      <c r="E21" s="27"/>
      <c r="F21" s="28">
        <f t="shared" si="0"/>
        <v>2000</v>
      </c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9">
        <f t="shared" si="1"/>
        <v>0</v>
      </c>
      <c r="Z21" s="30" t="str">
        <f t="shared" si="2"/>
        <v>ok</v>
      </c>
    </row>
    <row r="22" spans="1:26" ht="18" customHeight="1" x14ac:dyDescent="0.2">
      <c r="A22" s="23"/>
      <c r="B22" s="31"/>
      <c r="C22" s="25"/>
      <c r="D22" s="26"/>
      <c r="E22" s="27"/>
      <c r="F22" s="28">
        <f t="shared" si="0"/>
        <v>2000</v>
      </c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9">
        <f t="shared" si="1"/>
        <v>0</v>
      </c>
      <c r="Z22" s="30" t="str">
        <f t="shared" si="2"/>
        <v>ok</v>
      </c>
    </row>
    <row r="23" spans="1:26" ht="18" customHeight="1" x14ac:dyDescent="0.2">
      <c r="A23" s="23"/>
      <c r="B23" s="31"/>
      <c r="C23" s="25"/>
      <c r="D23" s="26"/>
      <c r="E23" s="27"/>
      <c r="F23" s="28">
        <f t="shared" si="0"/>
        <v>2000</v>
      </c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9">
        <f t="shared" si="1"/>
        <v>0</v>
      </c>
      <c r="Z23" s="30" t="str">
        <f t="shared" si="2"/>
        <v>ok</v>
      </c>
    </row>
    <row r="24" spans="1:26" ht="18" customHeight="1" x14ac:dyDescent="0.2">
      <c r="A24" s="23"/>
      <c r="B24" s="31"/>
      <c r="C24" s="25"/>
      <c r="D24" s="26"/>
      <c r="E24" s="27"/>
      <c r="F24" s="28">
        <f t="shared" si="0"/>
        <v>2000</v>
      </c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9">
        <f t="shared" si="1"/>
        <v>0</v>
      </c>
      <c r="Z24" s="30" t="str">
        <f t="shared" si="2"/>
        <v>ok</v>
      </c>
    </row>
    <row r="25" spans="1:26" ht="18" customHeight="1" x14ac:dyDescent="0.2">
      <c r="A25" s="23"/>
      <c r="B25" s="31"/>
      <c r="C25" s="25"/>
      <c r="D25" s="26"/>
      <c r="E25" s="27"/>
      <c r="F25" s="28">
        <f t="shared" si="0"/>
        <v>2000</v>
      </c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9">
        <f t="shared" si="1"/>
        <v>0</v>
      </c>
      <c r="Z25" s="30" t="str">
        <f t="shared" si="2"/>
        <v>ok</v>
      </c>
    </row>
    <row r="26" spans="1:26" ht="18" customHeight="1" x14ac:dyDescent="0.2">
      <c r="A26" s="23"/>
      <c r="B26" s="31"/>
      <c r="C26" s="25"/>
      <c r="D26" s="26"/>
      <c r="E26" s="27"/>
      <c r="F26" s="28">
        <f t="shared" si="0"/>
        <v>2000</v>
      </c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9">
        <f t="shared" si="1"/>
        <v>0</v>
      </c>
      <c r="Z26" s="30" t="str">
        <f t="shared" si="2"/>
        <v>ok</v>
      </c>
    </row>
    <row r="27" spans="1:26" ht="18" customHeight="1" x14ac:dyDescent="0.2">
      <c r="A27" s="32"/>
      <c r="B27" s="33"/>
      <c r="C27" s="25"/>
      <c r="D27" s="26"/>
      <c r="E27" s="34"/>
      <c r="F27" s="28">
        <f t="shared" si="0"/>
        <v>2000</v>
      </c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29">
        <f t="shared" si="1"/>
        <v>0</v>
      </c>
      <c r="Z27" s="30" t="str">
        <f t="shared" si="2"/>
        <v>ok</v>
      </c>
    </row>
    <row r="28" spans="1:26" ht="18" customHeight="1" x14ac:dyDescent="0.2">
      <c r="A28" s="32"/>
      <c r="B28" s="33"/>
      <c r="C28" s="25"/>
      <c r="D28" s="26"/>
      <c r="E28" s="34"/>
      <c r="F28" s="28">
        <f t="shared" si="0"/>
        <v>2000</v>
      </c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29">
        <f t="shared" si="1"/>
        <v>0</v>
      </c>
      <c r="Z28" s="30" t="str">
        <f t="shared" si="2"/>
        <v>ok</v>
      </c>
    </row>
    <row r="29" spans="1:26" ht="18" customHeight="1" x14ac:dyDescent="0.2">
      <c r="A29" s="32"/>
      <c r="B29" s="33"/>
      <c r="C29" s="25"/>
      <c r="D29" s="26"/>
      <c r="E29" s="34"/>
      <c r="F29" s="28">
        <f t="shared" si="0"/>
        <v>2000</v>
      </c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29">
        <f t="shared" si="1"/>
        <v>0</v>
      </c>
      <c r="Z29" s="30" t="str">
        <f t="shared" si="2"/>
        <v>ok</v>
      </c>
    </row>
    <row r="30" spans="1:26" ht="18" customHeight="1" x14ac:dyDescent="0.2">
      <c r="A30" s="32"/>
      <c r="B30" s="33"/>
      <c r="C30" s="25"/>
      <c r="D30" s="26"/>
      <c r="E30" s="34"/>
      <c r="F30" s="28">
        <f t="shared" si="0"/>
        <v>2000</v>
      </c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29">
        <f t="shared" si="1"/>
        <v>0</v>
      </c>
      <c r="Z30" s="30" t="str">
        <f t="shared" si="2"/>
        <v>ok</v>
      </c>
    </row>
    <row r="31" spans="1:26" ht="18" customHeight="1" x14ac:dyDescent="0.2">
      <c r="A31" s="32"/>
      <c r="B31" s="33"/>
      <c r="C31" s="25"/>
      <c r="D31" s="26"/>
      <c r="E31" s="34"/>
      <c r="F31" s="28">
        <f t="shared" si="0"/>
        <v>2000</v>
      </c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29">
        <f t="shared" si="1"/>
        <v>0</v>
      </c>
      <c r="Z31" s="30" t="str">
        <f t="shared" si="2"/>
        <v>ok</v>
      </c>
    </row>
    <row r="32" spans="1:26" ht="18" customHeight="1" x14ac:dyDescent="0.2">
      <c r="A32" s="32"/>
      <c r="B32" s="33"/>
      <c r="C32" s="25"/>
      <c r="D32" s="26"/>
      <c r="E32" s="34"/>
      <c r="F32" s="28">
        <f t="shared" si="0"/>
        <v>2000</v>
      </c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29">
        <f t="shared" si="1"/>
        <v>0</v>
      </c>
      <c r="Z32" s="30" t="str">
        <f t="shared" si="2"/>
        <v>ok</v>
      </c>
    </row>
    <row r="33" spans="1:26" ht="18" customHeight="1" x14ac:dyDescent="0.2">
      <c r="A33" s="32"/>
      <c r="B33" s="33"/>
      <c r="C33" s="25"/>
      <c r="D33" s="26"/>
      <c r="E33" s="34"/>
      <c r="F33" s="28">
        <f t="shared" si="0"/>
        <v>2000</v>
      </c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29">
        <f t="shared" si="1"/>
        <v>0</v>
      </c>
      <c r="Z33" s="30" t="str">
        <f t="shared" si="2"/>
        <v>ok</v>
      </c>
    </row>
    <row r="34" spans="1:26" ht="18" customHeight="1" x14ac:dyDescent="0.2">
      <c r="A34" s="32"/>
      <c r="B34" s="33"/>
      <c r="C34" s="25"/>
      <c r="D34" s="26"/>
      <c r="E34" s="34"/>
      <c r="F34" s="28">
        <f t="shared" si="0"/>
        <v>2000</v>
      </c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29">
        <f t="shared" si="1"/>
        <v>0</v>
      </c>
      <c r="Z34" s="30" t="str">
        <f t="shared" si="2"/>
        <v>ok</v>
      </c>
    </row>
    <row r="35" spans="1:26" ht="18" customHeight="1" thickBot="1" x14ac:dyDescent="0.25">
      <c r="A35" s="32"/>
      <c r="B35" s="33"/>
      <c r="C35" s="25"/>
      <c r="D35" s="26"/>
      <c r="E35" s="34"/>
      <c r="F35" s="28">
        <f t="shared" si="0"/>
        <v>2000</v>
      </c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29">
        <f t="shared" si="1"/>
        <v>0</v>
      </c>
      <c r="Z35" s="30" t="str">
        <f t="shared" si="2"/>
        <v>ok</v>
      </c>
    </row>
    <row r="36" spans="1:26" ht="18" customHeight="1" thickBot="1" x14ac:dyDescent="0.25">
      <c r="A36" s="36"/>
      <c r="B36" s="12" t="s">
        <v>31</v>
      </c>
      <c r="C36" s="11"/>
      <c r="D36" s="37">
        <f>SUM(D9:D35)</f>
        <v>0</v>
      </c>
      <c r="E36" s="38"/>
      <c r="F36" s="39">
        <f>SUM(F8-D36)</f>
        <v>2000</v>
      </c>
      <c r="G36" s="37">
        <f t="shared" ref="G36:X36" si="3">SUM(G9:G35)</f>
        <v>0</v>
      </c>
      <c r="H36" s="37">
        <f t="shared" si="3"/>
        <v>0</v>
      </c>
      <c r="I36" s="37">
        <f t="shared" si="3"/>
        <v>0</v>
      </c>
      <c r="J36" s="37">
        <f t="shared" si="3"/>
        <v>0</v>
      </c>
      <c r="K36" s="37">
        <f t="shared" si="3"/>
        <v>0</v>
      </c>
      <c r="L36" s="37">
        <f>SUM(L9:L35)</f>
        <v>0</v>
      </c>
      <c r="M36" s="37">
        <f>SUM(M9:M35)</f>
        <v>0</v>
      </c>
      <c r="N36" s="37">
        <f>SUM(N9:N35)</f>
        <v>0</v>
      </c>
      <c r="O36" s="37">
        <f>SUM(O9:O35)</f>
        <v>0</v>
      </c>
      <c r="P36" s="37">
        <f t="shared" si="3"/>
        <v>0</v>
      </c>
      <c r="Q36" s="37">
        <f>SUM(Q9:Q35)</f>
        <v>0</v>
      </c>
      <c r="R36" s="37">
        <f t="shared" si="3"/>
        <v>0</v>
      </c>
      <c r="S36" s="37">
        <f>SUM(S9:S35)</f>
        <v>0</v>
      </c>
      <c r="T36" s="37">
        <f t="shared" si="3"/>
        <v>0</v>
      </c>
      <c r="U36" s="37">
        <f t="shared" si="3"/>
        <v>0</v>
      </c>
      <c r="V36" s="37">
        <f t="shared" si="3"/>
        <v>0</v>
      </c>
      <c r="W36" s="37">
        <f>SUM(W9:W35)</f>
        <v>0</v>
      </c>
      <c r="X36" s="37">
        <f t="shared" si="3"/>
        <v>0</v>
      </c>
      <c r="Y36" s="13">
        <f>SUM(G36:X36)</f>
        <v>0</v>
      </c>
      <c r="Z36" s="40" t="str">
        <f>IF(Y36=D36,"ok","erreur")</f>
        <v>ok</v>
      </c>
    </row>
    <row r="37" spans="1:26" ht="18" customHeight="1" thickBot="1" x14ac:dyDescent="0.25"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spans="1:26" ht="18" customHeight="1" x14ac:dyDescent="0.2">
      <c r="A38" s="49" t="s">
        <v>32</v>
      </c>
      <c r="B38" s="61"/>
      <c r="C38" s="62"/>
      <c r="D38" s="63"/>
      <c r="E38" s="62"/>
      <c r="F38" s="64"/>
      <c r="G38" s="51"/>
      <c r="K38" s="49" t="s">
        <v>33</v>
      </c>
      <c r="L38" s="50"/>
      <c r="M38" s="50"/>
      <c r="N38" s="51"/>
      <c r="P38" s="81" t="s">
        <v>48</v>
      </c>
      <c r="Q38" s="62"/>
      <c r="R38" s="82" t="s">
        <v>42</v>
      </c>
      <c r="S38" s="78">
        <f>+SUM(G36:I36)</f>
        <v>0</v>
      </c>
      <c r="T38" s="48"/>
      <c r="U38" s="48"/>
    </row>
    <row r="39" spans="1:26" ht="18" customHeight="1" x14ac:dyDescent="0.2">
      <c r="A39" s="52" t="s">
        <v>34</v>
      </c>
      <c r="B39" s="58"/>
      <c r="C39" s="59"/>
      <c r="E39" s="59"/>
      <c r="F39" s="60"/>
      <c r="G39" s="53"/>
      <c r="K39" s="52" t="s">
        <v>35</v>
      </c>
      <c r="L39" s="48"/>
      <c r="M39" s="48"/>
      <c r="N39" s="53"/>
      <c r="P39" s="54"/>
      <c r="Q39" s="59"/>
      <c r="R39" s="83" t="s">
        <v>45</v>
      </c>
      <c r="S39" s="79">
        <f>+SUM(J36:O36)</f>
        <v>0</v>
      </c>
      <c r="T39" s="48"/>
      <c r="U39" s="48"/>
    </row>
    <row r="40" spans="1:26" ht="18" customHeight="1" x14ac:dyDescent="0.2">
      <c r="A40" s="52" t="s">
        <v>36</v>
      </c>
      <c r="B40" s="58"/>
      <c r="C40" s="59"/>
      <c r="E40" s="59"/>
      <c r="F40" s="60"/>
      <c r="G40" s="53"/>
      <c r="K40" s="52" t="s">
        <v>37</v>
      </c>
      <c r="L40" s="48"/>
      <c r="M40" s="48"/>
      <c r="N40" s="53"/>
      <c r="P40" s="54"/>
      <c r="Q40" s="59"/>
      <c r="R40" s="83" t="s">
        <v>44</v>
      </c>
      <c r="S40" s="79">
        <f>+SUM(P36:Q36)</f>
        <v>0</v>
      </c>
      <c r="T40" s="48"/>
      <c r="U40" s="48"/>
    </row>
    <row r="41" spans="1:26" ht="18" customHeight="1" x14ac:dyDescent="0.2">
      <c r="A41" s="52"/>
      <c r="B41" s="58"/>
      <c r="C41" s="59"/>
      <c r="E41" s="59"/>
      <c r="F41" s="60"/>
      <c r="G41" s="53"/>
      <c r="K41" s="52" t="s">
        <v>38</v>
      </c>
      <c r="L41" s="48"/>
      <c r="M41" s="48"/>
      <c r="N41" s="53"/>
      <c r="P41" s="54"/>
      <c r="Q41" s="59"/>
      <c r="R41" s="83" t="s">
        <v>43</v>
      </c>
      <c r="S41" s="79">
        <f>+R36</f>
        <v>0</v>
      </c>
      <c r="T41" s="48"/>
      <c r="U41" s="48"/>
    </row>
    <row r="42" spans="1:26" ht="18" customHeight="1" x14ac:dyDescent="0.2">
      <c r="A42" s="65"/>
      <c r="B42" s="58"/>
      <c r="C42" s="59"/>
      <c r="E42" s="59"/>
      <c r="F42" s="60"/>
      <c r="G42" s="53"/>
      <c r="K42" s="54"/>
      <c r="L42" s="48"/>
      <c r="M42" s="48"/>
      <c r="N42" s="53"/>
      <c r="P42" s="54"/>
      <c r="Q42" s="59"/>
      <c r="R42" s="83" t="s">
        <v>41</v>
      </c>
      <c r="S42" s="79">
        <f>+SUM(S36:T36)</f>
        <v>0</v>
      </c>
      <c r="T42" s="48"/>
      <c r="U42" s="48"/>
    </row>
    <row r="43" spans="1:26" ht="18" customHeight="1" x14ac:dyDescent="0.2">
      <c r="A43" s="65"/>
      <c r="B43" s="58"/>
      <c r="C43" s="59"/>
      <c r="E43" s="59"/>
      <c r="F43" s="60"/>
      <c r="G43" s="53"/>
      <c r="K43" s="54"/>
      <c r="L43" s="48"/>
      <c r="M43" s="48"/>
      <c r="N43" s="53"/>
      <c r="P43" s="54"/>
      <c r="Q43" s="59"/>
      <c r="R43" s="83" t="s">
        <v>47</v>
      </c>
      <c r="S43" s="79">
        <f>+U36</f>
        <v>0</v>
      </c>
      <c r="T43" s="48"/>
      <c r="U43" s="48"/>
    </row>
    <row r="44" spans="1:26" ht="18" customHeight="1" thickBot="1" x14ac:dyDescent="0.25">
      <c r="A44" s="66"/>
      <c r="B44" s="67"/>
      <c r="C44" s="68"/>
      <c r="D44" s="69"/>
      <c r="E44" s="68"/>
      <c r="F44" s="70"/>
      <c r="G44" s="57"/>
      <c r="K44" s="55"/>
      <c r="L44" s="56"/>
      <c r="M44" s="56"/>
      <c r="N44" s="57"/>
      <c r="P44" s="55"/>
      <c r="Q44" s="68"/>
      <c r="R44" s="84" t="s">
        <v>46</v>
      </c>
      <c r="S44" s="80">
        <f>+SUM(V36:W36)</f>
        <v>0</v>
      </c>
    </row>
  </sheetData>
  <sheetProtection selectLockedCells="1" selectUnlockedCells="1"/>
  <printOptions horizontalCentered="1" verticalCentered="1"/>
  <pageMargins left="0" right="0" top="0.31496062992125984" bottom="0.31496062992125984" header="0.11811023622047245" footer="0.11811023622047245"/>
  <pageSetup paperSize="9" scale="60" firstPageNumber="0" pageOrder="overThenDown" orientation="landscape" horizontalDpi="300" verticalDpi="300" r:id="rId1"/>
  <headerFooter alignWithMargins="0">
    <oddHeader>&amp;LDEPENSES CAISSE&amp;CBTP RMS LES ANGELIERES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showGridLines="0" workbookViewId="0"/>
  </sheetViews>
  <sheetFormatPr baseColWidth="10" defaultColWidth="11" defaultRowHeight="12.75" x14ac:dyDescent="0.2"/>
  <sheetData/>
  <sheetProtection selectLockedCells="1" selectUnlockedCells="1"/>
  <pageMargins left="0.74791666666666667" right="0.74791666666666667" top="0.98402777777777772" bottom="0.98402777777777772" header="0.49236111111111114" footer="0.49236111111111114"/>
  <pageSetup paperSize="9" firstPageNumber="0" orientation="portrait" horizontalDpi="300" verticalDpi="300"/>
  <headerFooter alignWithMargins="0"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showGridLines="0" workbookViewId="0"/>
  </sheetViews>
  <sheetFormatPr baseColWidth="10" defaultColWidth="11" defaultRowHeight="12.75" x14ac:dyDescent="0.2"/>
  <sheetData/>
  <sheetProtection selectLockedCells="1" selectUnlockedCells="1"/>
  <pageMargins left="0.74791666666666667" right="0.74791666666666667" top="0.98402777777777772" bottom="0.98402777777777772" header="0.49236111111111114" footer="0.49236111111111114"/>
  <pageSetup paperSize="9" firstPageNumber="0" orientation="portrait" horizontalDpi="300" verticalDpi="300"/>
  <headerFooter alignWithMargins="0">
    <oddHeader>&amp;C&amp;A</oddHeader>
    <oddFooter>&amp;CPage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showGridLines="0" workbookViewId="0"/>
  </sheetViews>
  <sheetFormatPr baseColWidth="10" defaultColWidth="11" defaultRowHeight="12.75" x14ac:dyDescent="0.2"/>
  <sheetData/>
  <sheetProtection selectLockedCells="1" selectUnlockedCells="1"/>
  <pageMargins left="0.74791666666666667" right="0.74791666666666667" top="0.98402777777777772" bottom="0.98402777777777772" header="0.49236111111111114" footer="0.49236111111111114"/>
  <pageSetup paperSize="9" firstPageNumber="0" orientation="portrait" horizontalDpi="300" verticalDpi="300"/>
  <headerFooter alignWithMargins="0">
    <oddHeader>&amp;C&amp;A</oddHeader>
    <oddFooter>&amp;CPage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showGridLines="0" workbookViewId="0"/>
  </sheetViews>
  <sheetFormatPr baseColWidth="10" defaultColWidth="11" defaultRowHeight="12.75" x14ac:dyDescent="0.2"/>
  <sheetData/>
  <sheetProtection selectLockedCells="1" selectUnlockedCells="1"/>
  <pageMargins left="0.74791666666666667" right="0.74791666666666667" top="0.98402777777777772" bottom="0.98402777777777772" header="0.49236111111111114" footer="0.49236111111111114"/>
  <pageSetup paperSize="9" firstPageNumber="0" orientation="portrait" horizontalDpi="300" verticalDpi="300"/>
  <headerFooter alignWithMargins="0">
    <oddHeader>&amp;C&amp;A</oddHeader>
    <oddFooter>&amp;CPage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showGridLines="0" workbookViewId="0"/>
  </sheetViews>
  <sheetFormatPr baseColWidth="10" defaultColWidth="11" defaultRowHeight="12.75" x14ac:dyDescent="0.2"/>
  <sheetData/>
  <sheetProtection selectLockedCells="1" selectUnlockedCells="1"/>
  <pageMargins left="0.74791666666666667" right="0.74791666666666667" top="0.98402777777777772" bottom="0.98402777777777772" header="0.49236111111111114" footer="0.49236111111111114"/>
  <pageSetup paperSize="9" firstPageNumber="0" orientation="portrait" horizontalDpi="300" verticalDpi="300"/>
  <headerFooter alignWithMargins="0">
    <oddHeader>&amp;C&amp;A</oddHeader>
    <oddFooter>&amp;CPage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showGridLines="0" workbookViewId="0"/>
  </sheetViews>
  <sheetFormatPr baseColWidth="10" defaultColWidth="11" defaultRowHeight="12.75" x14ac:dyDescent="0.2"/>
  <sheetData/>
  <sheetProtection selectLockedCells="1" selectUnlockedCells="1"/>
  <pageMargins left="0.74791666666666667" right="0.74791666666666667" top="0.98402777777777772" bottom="0.98402777777777772" header="0.49236111111111114" footer="0.49236111111111114"/>
  <pageSetup paperSize="9" firstPageNumber="0" orientation="portrait" horizontalDpi="300" verticalDpi="300"/>
  <headerFooter alignWithMargins="0">
    <oddHeader>&amp;C&amp;A</oddHeader>
    <oddFooter>&amp;CPage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showGridLines="0" workbookViewId="0"/>
  </sheetViews>
  <sheetFormatPr baseColWidth="10" defaultColWidth="11" defaultRowHeight="12.75" x14ac:dyDescent="0.2"/>
  <sheetData/>
  <sheetProtection selectLockedCells="1" selectUnlockedCells="1"/>
  <pageMargins left="0.74791666666666667" right="0.74791666666666667" top="0.98402777777777772" bottom="0.98402777777777772" header="0.49236111111111114" footer="0.49236111111111114"/>
  <pageSetup paperSize="9" firstPageNumber="0" orientation="portrait" horizontalDpi="300" verticalDpi="300"/>
  <headerFooter alignWithMargins="0">
    <oddHeader>&amp;C&amp;A</oddHeader>
    <oddFooter>&amp;CPage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workbookViewId="0"/>
  </sheetViews>
  <sheetFormatPr baseColWidth="10" defaultColWidth="11" defaultRowHeight="12.75" x14ac:dyDescent="0.2"/>
  <sheetData/>
  <sheetProtection selectLockedCells="1" selectUnlockedCells="1"/>
  <pageMargins left="0.74791666666666667" right="0.74791666666666667" top="0.98402777777777772" bottom="0.98402777777777772" header="0.49236111111111114" footer="0.49236111111111114"/>
  <pageSetup paperSize="9" firstPageNumber="0" orientation="portrait" horizontalDpi="300" verticalDpi="300"/>
  <headerFooter alignWithMargins="0">
    <oddHeader>&amp;C&amp;A</oddHeader>
    <oddFooter>&amp;CPage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showGridLines="0" workbookViewId="0"/>
  </sheetViews>
  <sheetFormatPr baseColWidth="10" defaultColWidth="11" defaultRowHeight="12.75" x14ac:dyDescent="0.2"/>
  <sheetData/>
  <sheetProtection selectLockedCells="1" selectUnlockedCells="1"/>
  <pageMargins left="0.74791666666666667" right="0.74791666666666667" top="0.98402777777777772" bottom="0.98402777777777772" header="0.49236111111111114" footer="0.49236111111111114"/>
  <pageSetup paperSize="9" firstPageNumber="0" orientation="portrait" horizontalDpi="300" verticalDpi="300"/>
  <headerFooter alignWithMargins="0">
    <oddHeader>&amp;C&amp;A</oddHeader>
    <oddFooter>&amp;CPage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"/>
  <sheetViews>
    <sheetView showGridLines="0" workbookViewId="0"/>
  </sheetViews>
  <sheetFormatPr baseColWidth="10" defaultColWidth="11" defaultRowHeight="12.75" x14ac:dyDescent="0.2"/>
  <sheetData/>
  <sheetProtection selectLockedCells="1" selectUnlockedCells="1"/>
  <pageMargins left="0.74791666666666667" right="0.74791666666666667" top="0.98402777777777772" bottom="0.98402777777777772" header="0.49236111111111114" footer="0.49236111111111114"/>
  <pageSetup paperSize="9" firstPageNumber="0" orientation="portrait" horizontalDpi="300" verticalDpi="300"/>
  <headerFooter alignWithMargins="0">
    <oddHeader>&amp;C&amp;A</oddHeader>
    <oddFooter>&amp;CPage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"/>
  <sheetViews>
    <sheetView showGridLines="0" workbookViewId="0"/>
  </sheetViews>
  <sheetFormatPr baseColWidth="10" defaultColWidth="11" defaultRowHeight="12.75" x14ac:dyDescent="0.2"/>
  <sheetData/>
  <sheetProtection selectLockedCells="1" selectUnlockedCells="1"/>
  <pageMargins left="0.74791666666666667" right="0.74791666666666667" top="0.98402777777777772" bottom="0.98402777777777772" header="0.49236111111111114" footer="0.49236111111111114"/>
  <pageSetup paperSize="9" firstPageNumber="0" orientation="portrait" horizontalDpi="300" verticalDpi="300"/>
  <headerFooter alignWithMargins="0">
    <oddHeader>&amp;C&amp;A</oddHeader>
    <oddFooter>&amp;CPage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"/>
  <sheetViews>
    <sheetView showGridLines="0" workbookViewId="0"/>
  </sheetViews>
  <sheetFormatPr baseColWidth="10" defaultColWidth="11" defaultRowHeight="12.75" x14ac:dyDescent="0.2"/>
  <sheetData/>
  <sheetProtection selectLockedCells="1" selectUnlockedCells="1"/>
  <pageMargins left="0.74791666666666667" right="0.74791666666666667" top="0.98402777777777772" bottom="0.98402777777777772" header="0.49236111111111114" footer="0.49236111111111114"/>
  <pageSetup paperSize="9" firstPageNumber="0" orientation="portrait" horizontalDpi="300" verticalDpi="300"/>
  <headerFooter alignWithMargins="0">
    <oddHeader>&amp;C&amp;A</oddHeader>
    <oddFooter>&amp;CPage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showGridLines="0" workbookViewId="0"/>
  </sheetViews>
  <sheetFormatPr baseColWidth="10" defaultColWidth="11" defaultRowHeight="12.75" x14ac:dyDescent="0.2"/>
  <sheetData/>
  <sheetProtection selectLockedCells="1" selectUnlockedCells="1"/>
  <pageMargins left="0.74791666666666667" right="0.74791666666666667" top="0.98402777777777772" bottom="0.98402777777777772" header="0.49236111111111114" footer="0.49236111111111114"/>
  <pageSetup paperSize="9" firstPageNumber="0" orientation="portrait" horizontalDpi="300" verticalDpi="300"/>
  <headerFooter alignWithMargins="0">
    <oddHeader>&amp;C&amp;A</oddHeader>
    <oddFooter>&amp;CPage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"/>
  <sheetViews>
    <sheetView showGridLines="0" workbookViewId="0"/>
  </sheetViews>
  <sheetFormatPr baseColWidth="10" defaultColWidth="11" defaultRowHeight="12.75" x14ac:dyDescent="0.2"/>
  <sheetData/>
  <sheetProtection selectLockedCells="1" selectUnlockedCells="1"/>
  <pageMargins left="0.74791666666666667" right="0.74791666666666667" top="0.98402777777777772" bottom="0.98402777777777772" header="0.49236111111111114" footer="0.49236111111111114"/>
  <pageSetup paperSize="9" firstPageNumber="0" orientation="portrait" horizontalDpi="300" verticalDpi="300"/>
  <headerFooter alignWithMargins="0">
    <oddHeader>&amp;C&amp;A</oddHeader>
    <oddFooter>&amp;CPage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"/>
  <sheetViews>
    <sheetView showGridLines="0" workbookViewId="0"/>
  </sheetViews>
  <sheetFormatPr baseColWidth="10" defaultColWidth="11" defaultRowHeight="12.75" x14ac:dyDescent="0.2"/>
  <sheetData/>
  <sheetProtection selectLockedCells="1" selectUnlockedCells="1"/>
  <pageMargins left="0.74791666666666667" right="0.74791666666666667" top="0.98402777777777772" bottom="0.98402777777777772" header="0.49236111111111114" footer="0.49236111111111114"/>
  <pageSetup paperSize="9" firstPageNumber="0" orientation="portrait" horizontalDpi="300" verticalDpi="300"/>
  <headerFooter alignWithMargins="0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16</vt:i4>
      </vt:variant>
      <vt:variant>
        <vt:lpstr>Plages nommées</vt:lpstr>
      </vt:variant>
      <vt:variant>
        <vt:i4>3</vt:i4>
      </vt:variant>
    </vt:vector>
  </HeadingPairs>
  <TitlesOfParts>
    <vt:vector size="19" baseType="lpstr">
      <vt:lpstr>Dépenses Pavillons</vt:lpstr>
      <vt:lpstr>Feuil2</vt:lpstr>
      <vt:lpstr>Feuil3</vt:lpstr>
      <vt:lpstr>Feuil4</vt:lpstr>
      <vt:lpstr>Feuil5</vt:lpstr>
      <vt:lpstr>Feuil6</vt:lpstr>
      <vt:lpstr>Feuil7</vt:lpstr>
      <vt:lpstr>Feuil8</vt:lpstr>
      <vt:lpstr>Feuil9</vt:lpstr>
      <vt:lpstr>Feuil10</vt:lpstr>
      <vt:lpstr>Feuil11</vt:lpstr>
      <vt:lpstr>Feuil12</vt:lpstr>
      <vt:lpstr>Feuil13</vt:lpstr>
      <vt:lpstr>Feuil14</vt:lpstr>
      <vt:lpstr>Feuil15</vt:lpstr>
      <vt:lpstr>Feuil16</vt:lpstr>
      <vt:lpstr>Excel_BuiltIn__FilterDatabase</vt:lpstr>
      <vt:lpstr>'Dépenses Pavillons'!Excel_BuiltIn_Print_Titles</vt:lpstr>
      <vt:lpstr>'Dépenses Pavillons'!Impression_des_titres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SERGE PONTON</dc:creator>
  <cp:lastModifiedBy>Juliette VIALA</cp:lastModifiedBy>
  <cp:lastPrinted>2024-08-29T09:42:20Z</cp:lastPrinted>
  <dcterms:created xsi:type="dcterms:W3CDTF">2023-12-20T15:23:09Z</dcterms:created>
  <dcterms:modified xsi:type="dcterms:W3CDTF">2025-02-14T10:29:50Z</dcterms:modified>
</cp:coreProperties>
</file>